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24915" windowHeight="12075"/>
  </bookViews>
  <sheets>
    <sheet name="BASE UNCHANGED 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J9" i="1"/>
  <c r="J10"/>
  <c r="F6"/>
  <c r="F5"/>
  <c r="G6"/>
  <c r="G5"/>
  <c r="G4"/>
  <c r="J4"/>
  <c r="J6"/>
  <c r="J8"/>
  <c r="J5"/>
  <c r="H9" l="1"/>
  <c r="H10"/>
  <c r="H11"/>
  <c r="H6"/>
  <c r="H5"/>
  <c r="H7"/>
</calcChain>
</file>

<file path=xl/comments1.xml><?xml version="1.0" encoding="utf-8"?>
<comments xmlns="http://schemas.openxmlformats.org/spreadsheetml/2006/main">
  <authors>
    <author>Marlene N. Leon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Why is this necessary
???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Case for Start &amp; End date
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Call this formula Find Tax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Why do I need income to date.
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Why do I need income to date.
</t>
        </r>
      </text>
    </comment>
  </commentList>
</comments>
</file>

<file path=xl/sharedStrings.xml><?xml version="1.0" encoding="utf-8"?>
<sst xmlns="http://schemas.openxmlformats.org/spreadsheetml/2006/main" count="18" uniqueCount="13">
  <si>
    <t>TaxCode</t>
  </si>
  <si>
    <t>Base  Income</t>
  </si>
  <si>
    <t>Start Date</t>
  </si>
  <si>
    <t>End Date</t>
  </si>
  <si>
    <t>Commission Or Gratuity</t>
  </si>
  <si>
    <t>Income to date</t>
  </si>
  <si>
    <t>Tax Deducted To date</t>
  </si>
  <si>
    <t>254M</t>
  </si>
  <si>
    <t>Sample Period</t>
  </si>
  <si>
    <t>SCENARIO: Base Income Unchanged</t>
  </si>
  <si>
    <t>Commission prior to date</t>
  </si>
  <si>
    <t>n/a</t>
  </si>
  <si>
    <t>Period Amount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</si>
</sst>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[$-409]d\-mmm\-yy;@"/>
  </numFmts>
  <fonts count="6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6">
    <xf numFmtId="0" fontId="0" fillId="0" borderId="0" xfId="0"/>
    <xf numFmtId="2" fontId="0" fillId="0" borderId="0" xfId="0" applyNumberFormat="1"/>
    <xf numFmtId="49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64" fontId="0" fillId="2" borderId="0" xfId="0" applyNumberFormat="1" applyFill="1"/>
    <xf numFmtId="164" fontId="0" fillId="0" borderId="0" xfId="0" applyNumberFormat="1"/>
    <xf numFmtId="2" fontId="3" fillId="0" borderId="0" xfId="0" applyNumberFormat="1" applyFont="1" applyAlignment="1">
      <alignment wrapText="1"/>
    </xf>
    <xf numFmtId="43" fontId="0" fillId="0" borderId="0" xfId="1" applyFont="1"/>
    <xf numFmtId="4" fontId="0" fillId="0" borderId="0" xfId="0" applyNumberFormat="1" applyAlignment="1">
      <alignment wrapText="1"/>
    </xf>
    <xf numFmtId="4" fontId="0" fillId="0" borderId="0" xfId="0" applyNumberFormat="1"/>
    <xf numFmtId="43" fontId="5" fillId="0" borderId="0" xfId="1" applyFont="1"/>
    <xf numFmtId="2" fontId="0" fillId="0" borderId="0" xfId="1" applyNumberFormat="1" applyFont="1"/>
    <xf numFmtId="2" fontId="5" fillId="0" borderId="0" xfId="1" applyNumberFormat="1" applyFont="1"/>
    <xf numFmtId="164" fontId="0" fillId="0" borderId="0" xfId="0" applyNumberFormat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2"/>
  <sheetViews>
    <sheetView tabSelected="1" workbookViewId="0">
      <selection activeCell="J8" sqref="J8"/>
    </sheetView>
  </sheetViews>
  <sheetFormatPr defaultRowHeight="15"/>
  <cols>
    <col min="2" max="2" width="9.140625" style="1"/>
    <col min="3" max="3" width="11.5703125" style="7" bestFit="1" customWidth="1"/>
    <col min="4" max="4" width="10" style="7" bestFit="1" customWidth="1"/>
    <col min="5" max="6" width="13" style="1" customWidth="1"/>
    <col min="7" max="7" width="13" style="1" hidden="1" customWidth="1"/>
    <col min="8" max="8" width="13" style="1" customWidth="1"/>
    <col min="9" max="9" width="14.42578125" style="2" customWidth="1"/>
    <col min="10" max="10" width="11.28515625" style="11" bestFit="1" customWidth="1"/>
  </cols>
  <sheetData>
    <row r="1" spans="1:10">
      <c r="A1" t="s">
        <v>9</v>
      </c>
    </row>
    <row r="2" spans="1:10" s="3" customFormat="1" ht="30">
      <c r="A2" s="3" t="s">
        <v>8</v>
      </c>
      <c r="B2" s="8" t="s">
        <v>1</v>
      </c>
      <c r="C2" s="15" t="s">
        <v>2</v>
      </c>
      <c r="D2" s="15" t="s">
        <v>3</v>
      </c>
      <c r="E2" s="4" t="s">
        <v>4</v>
      </c>
      <c r="F2" s="4" t="s">
        <v>10</v>
      </c>
      <c r="G2" s="4" t="s">
        <v>5</v>
      </c>
      <c r="H2" s="4" t="s">
        <v>6</v>
      </c>
      <c r="I2" s="5" t="s">
        <v>0</v>
      </c>
      <c r="J2" s="10" t="s">
        <v>12</v>
      </c>
    </row>
    <row r="3" spans="1:10">
      <c r="E3" s="9"/>
      <c r="F3" s="9"/>
    </row>
    <row r="4" spans="1:10">
      <c r="A4">
        <v>1</v>
      </c>
      <c r="B4" s="1">
        <v>5000</v>
      </c>
      <c r="C4" s="6"/>
      <c r="D4" s="6"/>
      <c r="E4" s="9">
        <v>0</v>
      </c>
      <c r="F4" s="9"/>
      <c r="G4" s="12">
        <f>SUM(B$4:$B4)+SUM(E$4:$E4)</f>
        <v>5000</v>
      </c>
      <c r="I4" s="2" t="s">
        <v>7</v>
      </c>
      <c r="J4" s="11">
        <f>findtaxcommission(B4,I4,E4)</f>
        <v>408.33333333333331</v>
      </c>
    </row>
    <row r="5" spans="1:10">
      <c r="A5">
        <v>2</v>
      </c>
      <c r="B5" s="1">
        <v>5000</v>
      </c>
      <c r="E5" s="13">
        <v>10000</v>
      </c>
      <c r="F5" s="14">
        <f>SUM(E$4:$E4)</f>
        <v>0</v>
      </c>
      <c r="G5" s="12">
        <f>SUM(B$4:$B5)+SUM(E$4:$E5)</f>
        <v>20000</v>
      </c>
      <c r="H5" s="12">
        <f>SUM($J$4:J4)</f>
        <v>408.33333333333331</v>
      </c>
      <c r="I5" s="2" t="s">
        <v>7</v>
      </c>
      <c r="J5" s="11">
        <f>findtaxcommission(B5,I5,E5)</f>
        <v>2908.3333333333335</v>
      </c>
    </row>
    <row r="6" spans="1:10">
      <c r="A6">
        <v>3</v>
      </c>
      <c r="B6" s="1">
        <v>1800</v>
      </c>
      <c r="E6" s="13">
        <v>5000</v>
      </c>
      <c r="F6" s="14">
        <f>SUM(E$4:$E5)</f>
        <v>10000</v>
      </c>
      <c r="G6" s="12">
        <f>SUM(B$4:$B6)+SUM(E$4:$E6)</f>
        <v>26800</v>
      </c>
      <c r="H6" s="12">
        <f>SUM($J$4:J5)</f>
        <v>3316.666666666667</v>
      </c>
      <c r="I6" s="2" t="s">
        <v>7</v>
      </c>
      <c r="J6" s="11">
        <f>findtaxcommissionb(B6,I6,E6,F6)</f>
        <v>0</v>
      </c>
    </row>
    <row r="7" spans="1:10">
      <c r="E7" s="9"/>
      <c r="F7" s="9"/>
      <c r="H7" s="12">
        <f>SUM($J$4:J6)</f>
        <v>3316.666666666667</v>
      </c>
    </row>
    <row r="8" spans="1:10">
      <c r="A8">
        <v>4</v>
      </c>
      <c r="B8" s="1">
        <v>5000</v>
      </c>
      <c r="C8" s="7">
        <v>42005</v>
      </c>
      <c r="D8" s="7">
        <v>42063</v>
      </c>
      <c r="E8" s="9">
        <v>0</v>
      </c>
      <c r="F8" s="9">
        <v>0</v>
      </c>
      <c r="H8" s="1" t="s">
        <v>11</v>
      </c>
      <c r="I8" s="2" t="s">
        <v>7</v>
      </c>
      <c r="J8" s="11">
        <f>findtaxbydate(B8,I8,C8,D8)</f>
        <v>0</v>
      </c>
    </row>
    <row r="9" spans="1:10">
      <c r="A9">
        <v>5</v>
      </c>
      <c r="B9" s="1">
        <v>5000</v>
      </c>
      <c r="C9" s="7">
        <v>42005</v>
      </c>
      <c r="D9" s="7">
        <v>42094</v>
      </c>
      <c r="E9" s="9">
        <v>13000</v>
      </c>
      <c r="F9" s="9"/>
      <c r="H9" s="12">
        <f>SUM($J$8:J8)</f>
        <v>0</v>
      </c>
      <c r="I9" s="2" t="s">
        <v>7</v>
      </c>
      <c r="J9" s="11" t="e">
        <f>findtaxcommissionbydate(B9,I9,E9,C9,D9)</f>
        <v>#VALUE!</v>
      </c>
    </row>
    <row r="10" spans="1:10">
      <c r="A10">
        <v>6</v>
      </c>
      <c r="B10" s="1">
        <v>1800</v>
      </c>
      <c r="C10" s="7">
        <v>42005</v>
      </c>
      <c r="D10" s="7">
        <v>42094</v>
      </c>
      <c r="E10" s="9">
        <v>5000</v>
      </c>
      <c r="F10" s="9">
        <v>10000</v>
      </c>
      <c r="H10" s="12" t="e">
        <f>SUM($J$8:J9)</f>
        <v>#VALUE!</v>
      </c>
      <c r="I10" s="2" t="s">
        <v>7</v>
      </c>
      <c r="J10" s="11">
        <f>findtaxcommissionbydate(B10,I10,E10,C10,D10)</f>
        <v>-1750.0000000000002</v>
      </c>
    </row>
    <row r="11" spans="1:10">
      <c r="H11" s="12" t="e">
        <f>SUM($J$8:J10)</f>
        <v>#VALUE!</v>
      </c>
    </row>
    <row r="12" spans="1:10">
      <c r="H12" s="12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D15" sqref="D15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BASE UNCHANGED 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Marlene N. Leon</dc:creator>
  <cp:lastModifiedBy>Marlene N. Leon</cp:lastModifiedBy>
  <dcterms:created xsi:type="dcterms:W3CDTF">2014-06-16T19:46:35Z</dcterms:created>
  <dcterms:modified xsi:type="dcterms:W3CDTF">2015-06-19T20:36:23Z</dcterms:modified>
</cp:coreProperties>
</file>